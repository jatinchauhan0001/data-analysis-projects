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 Book" sheetId="1" state="visible" r:id="rId3"/>
    <sheet name="Class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<sst xmlns="http://schemas.openxmlformats.org/spreadsheetml/2006/main" count="71" uniqueCount="68">
  <si>
    <t xml:space="preserve">Student ID</t>
  </si>
  <si>
    <t xml:space="preserve">Student Name</t>
  </si>
  <si>
    <t xml:space="preserve">Test 1 (20)</t>
  </si>
  <si>
    <t xml:space="preserve">Test 2 (20)</t>
  </si>
  <si>
    <t xml:space="preserve">Midterm (30)</t>
  </si>
  <si>
    <t xml:space="preserve">Final Exam (30)</t>
  </si>
  <si>
    <t xml:space="preserve">Average (%)</t>
  </si>
  <si>
    <t xml:space="preserve">Letter Grade</t>
  </si>
  <si>
    <t xml:space="preserve">STU101</t>
  </si>
  <si>
    <t xml:space="preserve">Kabir Reddy</t>
  </si>
  <si>
    <t xml:space="preserve">STU102</t>
  </si>
  <si>
    <t xml:space="preserve">Tara Patel</t>
  </si>
  <si>
    <t xml:space="preserve">STU103</t>
  </si>
  <si>
    <t xml:space="preserve">Diya Patel</t>
  </si>
  <si>
    <t xml:space="preserve">STU104</t>
  </si>
  <si>
    <t xml:space="preserve">Ishaan Chatterjee</t>
  </si>
  <si>
    <t xml:space="preserve">STU105</t>
  </si>
  <si>
    <t xml:space="preserve">Om Sharma</t>
  </si>
  <si>
    <t xml:space="preserve">STU106</t>
  </si>
  <si>
    <t xml:space="preserve">Kiara Sharma</t>
  </si>
  <si>
    <t xml:space="preserve">STU107</t>
  </si>
  <si>
    <t xml:space="preserve">Vivaan Chatterjee</t>
  </si>
  <si>
    <t xml:space="preserve">STU108</t>
  </si>
  <si>
    <t xml:space="preserve">Ananya Menon</t>
  </si>
  <si>
    <t xml:space="preserve">STU109</t>
  </si>
  <si>
    <t xml:space="preserve">Ananya Chatterjee</t>
  </si>
  <si>
    <t xml:space="preserve">STU110</t>
  </si>
  <si>
    <t xml:space="preserve">Anika Chatterjee</t>
  </si>
  <si>
    <t xml:space="preserve">STU111</t>
  </si>
  <si>
    <t xml:space="preserve">Riya Iyer</t>
  </si>
  <si>
    <t xml:space="preserve">STU112</t>
  </si>
  <si>
    <t xml:space="preserve">Om Iyer</t>
  </si>
  <si>
    <t xml:space="preserve">STU113</t>
  </si>
  <si>
    <t xml:space="preserve">Saanvi Menon</t>
  </si>
  <si>
    <t xml:space="preserve">STU114</t>
  </si>
  <si>
    <t xml:space="preserve">STU115</t>
  </si>
  <si>
    <t xml:space="preserve">Tara Menon</t>
  </si>
  <si>
    <t xml:space="preserve">STU116</t>
  </si>
  <si>
    <t xml:space="preserve">Om Bose</t>
  </si>
  <si>
    <t xml:space="preserve">STU117</t>
  </si>
  <si>
    <t xml:space="preserve">Ishaan Sharma</t>
  </si>
  <si>
    <t xml:space="preserve">STU118</t>
  </si>
  <si>
    <t xml:space="preserve">Arnav Rao</t>
  </si>
  <si>
    <t xml:space="preserve">STU119</t>
  </si>
  <si>
    <t xml:space="preserve">Zara Patel</t>
  </si>
  <si>
    <t xml:space="preserve">STU120</t>
  </si>
  <si>
    <t xml:space="preserve">Vivaan Nair</t>
  </si>
  <si>
    <t xml:space="preserve">STU121</t>
  </si>
  <si>
    <t xml:space="preserve">Myra Bose</t>
  </si>
  <si>
    <t xml:space="preserve">STU122</t>
  </si>
  <si>
    <t xml:space="preserve">Aadhya Chatterjee</t>
  </si>
  <si>
    <t xml:space="preserve">STU123</t>
  </si>
  <si>
    <t xml:space="preserve">Kiara Reddy</t>
  </si>
  <si>
    <t xml:space="preserve">STU124</t>
  </si>
  <si>
    <t xml:space="preserve">STU125</t>
  </si>
  <si>
    <t xml:space="preserve">Saanvi Sharma</t>
  </si>
  <si>
    <t xml:space="preserve">Class Summary</t>
  </si>
  <si>
    <t xml:space="preserve">Class Average (%)</t>
  </si>
  <si>
    <t xml:space="preserve">Highest Average (%)</t>
  </si>
  <si>
    <t xml:space="preserve">Lowest Average (%)</t>
  </si>
  <si>
    <t xml:space="preserve">Grade Distribution</t>
  </si>
  <si>
    <t xml:space="preserve">Number of Students</t>
  </si>
  <si>
    <t xml:space="preserve">A+</t>
  </si>
  <si>
    <t xml:space="preserve">A</t>
  </si>
  <si>
    <t xml:space="preserve">B</t>
  </si>
  <si>
    <t xml:space="preserve">C</t>
  </si>
  <si>
    <t xml:space="preserve">D</t>
  </si>
  <si>
    <t xml:space="preserve">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</si>
</sst>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20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sz val="14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54823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GradeTable" displayName="GradeTable" ref="A1:H26" headerRowCount="1" totalsRowCount="0" totalsRowShown="0">
  <autoFilter ref="A1:H26"/>
  <tableColumns count="8">
    <tableColumn id="1" name="Student ID"/>
    <tableColumn id="2" name="Student Name"/>
    <tableColumn id="3" name="Test 1 (20)"/>
    <tableColumn id="4" name="Test 2 (20)"/>
    <tableColumn id="5" name="Midterm (30)"/>
    <tableColumn id="6" name="Final Exam (30)"/>
    <tableColumn id="7" name="Average (%)"/>
    <tableColumn id="8" name="Letter Gra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5" min="3" style="0" width="11"/>
    <col collapsed="false" customWidth="true" hidden="false" outlineLevel="0" max="7" min="6" style="0" width="12"/>
    <col collapsed="false" customWidth="true" hidden="false" outlineLevel="0" max="8" min="8" style="0" width="13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n">
        <v>16</v>
      </c>
      <c r="D2" s="2" t="n">
        <v>20</v>
      </c>
      <c r="E2" s="2" t="n">
        <v>16</v>
      </c>
      <c r="F2" s="2" t="n">
        <v>17</v>
      </c>
      <c r="G2" s="3" t="n">
        <f aca="false">ROUND((C2+D2+E2+F2)/100*100,1)</f>
        <v>69</v>
      </c>
      <c r="H2" s="2" t="str">
        <f aca="false">IF(G2&gt;=90,"A+",IF(G2&gt;=80,"A",IF(G2&gt;=70,"B",IF(G2&gt;=60,"C",IF(G2&gt;=50,"D","F")))))</f>
        <v>C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n">
        <v>15</v>
      </c>
      <c r="D3" s="2" t="n">
        <v>19</v>
      </c>
      <c r="E3" s="2" t="n">
        <v>16</v>
      </c>
      <c r="F3" s="2" t="n">
        <v>21</v>
      </c>
      <c r="G3" s="3" t="n">
        <f aca="false">ROUND((C3+D3+E3+F3)/100*100,1)</f>
        <v>71</v>
      </c>
      <c r="H3" s="2" t="str">
        <f aca="false">IF(G3&gt;=90,"A+",IF(G3&gt;=80,"A",IF(G3&gt;=70,"B",IF(G3&gt;=60,"C",IF(G3&gt;=50,"D","F")))))</f>
        <v>B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n">
        <v>16</v>
      </c>
      <c r="D4" s="2" t="n">
        <v>16</v>
      </c>
      <c r="E4" s="2" t="n">
        <v>17</v>
      </c>
      <c r="F4" s="2" t="n">
        <v>22</v>
      </c>
      <c r="G4" s="3" t="n">
        <f aca="false">ROUND((C4+D4+E4+F4)/100*100,1)</f>
        <v>71</v>
      </c>
      <c r="H4" s="2" t="str">
        <f aca="false">IF(G4&gt;=90,"A+",IF(G4&gt;=80,"A",IF(G4&gt;=70,"B",IF(G4&gt;=60,"C",IF(G4&gt;=50,"D","F")))))</f>
        <v>B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n">
        <v>16</v>
      </c>
      <c r="D5" s="2" t="n">
        <v>10</v>
      </c>
      <c r="E5" s="2" t="n">
        <v>18</v>
      </c>
      <c r="F5" s="2" t="n">
        <v>22</v>
      </c>
      <c r="G5" s="3" t="n">
        <f aca="false">ROUND((C5+D5+E5+F5)/100*100,1)</f>
        <v>66</v>
      </c>
      <c r="H5" s="2" t="str">
        <f aca="false">IF(G5&gt;=90,"A+",IF(G5&gt;=80,"A",IF(G5&gt;=70,"B",IF(G5&gt;=60,"C",IF(G5&gt;=50,"D","F")))))</f>
        <v>C</v>
      </c>
    </row>
    <row r="6" customFormat="false" ht="15" hidden="false" customHeight="false" outlineLevel="0" collapsed="false">
      <c r="A6" s="2" t="s">
        <v>16</v>
      </c>
      <c r="B6" s="2" t="s">
        <v>17</v>
      </c>
      <c r="C6" s="2" t="n">
        <v>19</v>
      </c>
      <c r="D6" s="2" t="n">
        <v>19</v>
      </c>
      <c r="E6" s="2" t="n">
        <v>27</v>
      </c>
      <c r="F6" s="2" t="n">
        <v>16</v>
      </c>
      <c r="G6" s="3" t="n">
        <f aca="false">ROUND((C6+D6+E6+F6)/100*100,1)</f>
        <v>81</v>
      </c>
      <c r="H6" s="2" t="str">
        <f aca="false">IF(G6&gt;=90,"A+",IF(G6&gt;=80,"A",IF(G6&gt;=70,"B",IF(G6&gt;=60,"C",IF(G6&gt;=50,"D","F")))))</f>
        <v>A</v>
      </c>
    </row>
    <row r="7" customFormat="false" ht="15" hidden="false" customHeight="false" outlineLevel="0" collapsed="false">
      <c r="A7" s="2" t="s">
        <v>18</v>
      </c>
      <c r="B7" s="2" t="s">
        <v>19</v>
      </c>
      <c r="C7" s="2" t="n">
        <v>18</v>
      </c>
      <c r="D7" s="2" t="n">
        <v>12</v>
      </c>
      <c r="E7" s="2" t="n">
        <v>24</v>
      </c>
      <c r="F7" s="2" t="n">
        <v>28</v>
      </c>
      <c r="G7" s="3" t="n">
        <f aca="false">ROUND((C7+D7+E7+F7)/100*100,1)</f>
        <v>82</v>
      </c>
      <c r="H7" s="2" t="str">
        <f aca="false">IF(G7&gt;=90,"A+",IF(G7&gt;=80,"A",IF(G7&gt;=70,"B",IF(G7&gt;=60,"C",IF(G7&gt;=50,"D","F")))))</f>
        <v>A</v>
      </c>
    </row>
    <row r="8" customFormat="false" ht="15" hidden="false" customHeight="false" outlineLevel="0" collapsed="false">
      <c r="A8" s="2" t="s">
        <v>20</v>
      </c>
      <c r="B8" s="2" t="s">
        <v>21</v>
      </c>
      <c r="C8" s="2" t="n">
        <v>11</v>
      </c>
      <c r="D8" s="2" t="n">
        <v>19</v>
      </c>
      <c r="E8" s="2" t="n">
        <v>24</v>
      </c>
      <c r="F8" s="2" t="n">
        <v>20</v>
      </c>
      <c r="G8" s="3" t="n">
        <f aca="false">ROUND((C8+D8+E8+F8)/100*100,1)</f>
        <v>74</v>
      </c>
      <c r="H8" s="2" t="str">
        <f aca="false">IF(G8&gt;=90,"A+",IF(G8&gt;=80,"A",IF(G8&gt;=70,"B",IF(G8&gt;=60,"C",IF(G8&gt;=50,"D","F")))))</f>
        <v>B</v>
      </c>
    </row>
    <row r="9" customFormat="false" ht="15" hidden="false" customHeight="false" outlineLevel="0" collapsed="false">
      <c r="A9" s="2" t="s">
        <v>22</v>
      </c>
      <c r="B9" s="2" t="s">
        <v>23</v>
      </c>
      <c r="C9" s="2" t="n">
        <v>19</v>
      </c>
      <c r="D9" s="2" t="n">
        <v>20</v>
      </c>
      <c r="E9" s="2" t="n">
        <v>21</v>
      </c>
      <c r="F9" s="2" t="n">
        <v>26</v>
      </c>
      <c r="G9" s="3" t="n">
        <f aca="false">ROUND((C9+D9+E9+F9)/100*100,1)</f>
        <v>86</v>
      </c>
      <c r="H9" s="2" t="str">
        <f aca="false">IF(G9&gt;=90,"A+",IF(G9&gt;=80,"A",IF(G9&gt;=70,"B",IF(G9&gt;=60,"C",IF(G9&gt;=50,"D","F")))))</f>
        <v>A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2" t="n">
        <v>11</v>
      </c>
      <c r="D10" s="2" t="n">
        <v>19</v>
      </c>
      <c r="E10" s="2" t="n">
        <v>16</v>
      </c>
      <c r="F10" s="2" t="n">
        <v>21</v>
      </c>
      <c r="G10" s="3" t="n">
        <f aca="false">ROUND((C10+D10+E10+F10)/100*100,1)</f>
        <v>67</v>
      </c>
      <c r="H10" s="2" t="str">
        <f aca="false">IF(G10&gt;=90,"A+",IF(G10&gt;=80,"A",IF(G10&gt;=70,"B",IF(G10&gt;=60,"C",IF(G10&gt;=50,"D","F")))))</f>
        <v>C</v>
      </c>
    </row>
    <row r="11" customFormat="false" ht="15" hidden="false" customHeight="false" outlineLevel="0" collapsed="false">
      <c r="A11" s="2" t="s">
        <v>26</v>
      </c>
      <c r="B11" s="2" t="s">
        <v>27</v>
      </c>
      <c r="C11" s="2" t="n">
        <v>16</v>
      </c>
      <c r="D11" s="2" t="n">
        <v>15</v>
      </c>
      <c r="E11" s="2" t="n">
        <v>29</v>
      </c>
      <c r="F11" s="2" t="n">
        <v>29</v>
      </c>
      <c r="G11" s="3" t="n">
        <f aca="false">ROUND((C11+D11+E11+F11)/100*100,1)</f>
        <v>89</v>
      </c>
      <c r="H11" s="2" t="str">
        <f aca="false">IF(G11&gt;=90,"A+",IF(G11&gt;=80,"A",IF(G11&gt;=70,"B",IF(G11&gt;=60,"C",IF(G11&gt;=50,"D","F")))))</f>
        <v>A</v>
      </c>
    </row>
    <row r="12" customFormat="false" ht="15" hidden="false" customHeight="false" outlineLevel="0" collapsed="false">
      <c r="A12" s="2" t="s">
        <v>28</v>
      </c>
      <c r="B12" s="2" t="s">
        <v>29</v>
      </c>
      <c r="C12" s="2" t="n">
        <v>13</v>
      </c>
      <c r="D12" s="2" t="n">
        <v>12</v>
      </c>
      <c r="E12" s="2" t="n">
        <v>22</v>
      </c>
      <c r="F12" s="2" t="n">
        <v>17</v>
      </c>
      <c r="G12" s="3" t="n">
        <f aca="false">ROUND((C12+D12+E12+F12)/100*100,1)</f>
        <v>64</v>
      </c>
      <c r="H12" s="2" t="str">
        <f aca="false">IF(G12&gt;=90,"A+",IF(G12&gt;=80,"A",IF(G12&gt;=70,"B",IF(G12&gt;=60,"C",IF(G12&gt;=50,"D","F")))))</f>
        <v>C</v>
      </c>
    </row>
    <row r="13" customFormat="false" ht="15" hidden="false" customHeight="false" outlineLevel="0" collapsed="false">
      <c r="A13" s="2" t="s">
        <v>30</v>
      </c>
      <c r="B13" s="2" t="s">
        <v>31</v>
      </c>
      <c r="C13" s="2" t="n">
        <v>18</v>
      </c>
      <c r="D13" s="2" t="n">
        <v>17</v>
      </c>
      <c r="E13" s="2" t="n">
        <v>25</v>
      </c>
      <c r="F13" s="2" t="n">
        <v>29</v>
      </c>
      <c r="G13" s="3" t="n">
        <f aca="false">ROUND((C13+D13+E13+F13)/100*100,1)</f>
        <v>89</v>
      </c>
      <c r="H13" s="2" t="str">
        <f aca="false">IF(G13&gt;=90,"A+",IF(G13&gt;=80,"A",IF(G13&gt;=70,"B",IF(G13&gt;=60,"C",IF(G13&gt;=50,"D","F")))))</f>
        <v>A</v>
      </c>
    </row>
    <row r="14" customFormat="false" ht="15" hidden="false" customHeight="false" outlineLevel="0" collapsed="false">
      <c r="A14" s="2" t="s">
        <v>32</v>
      </c>
      <c r="B14" s="2" t="s">
        <v>33</v>
      </c>
      <c r="C14" s="2" t="n">
        <v>11</v>
      </c>
      <c r="D14" s="2" t="n">
        <v>11</v>
      </c>
      <c r="E14" s="2" t="n">
        <v>28</v>
      </c>
      <c r="F14" s="2" t="n">
        <v>20</v>
      </c>
      <c r="G14" s="3" t="n">
        <f aca="false">ROUND((C14+D14+E14+F14)/100*100,1)</f>
        <v>70</v>
      </c>
      <c r="H14" s="2" t="str">
        <f aca="false">IF(G14&gt;=90,"A+",IF(G14&gt;=80,"A",IF(G14&gt;=70,"B",IF(G14&gt;=60,"C",IF(G14&gt;=50,"D","F")))))</f>
        <v>B</v>
      </c>
    </row>
    <row r="15" customFormat="false" ht="15" hidden="false" customHeight="false" outlineLevel="0" collapsed="false">
      <c r="A15" s="2" t="s">
        <v>34</v>
      </c>
      <c r="B15" s="2" t="s">
        <v>9</v>
      </c>
      <c r="C15" s="2" t="n">
        <v>17</v>
      </c>
      <c r="D15" s="2" t="n">
        <v>16</v>
      </c>
      <c r="E15" s="2" t="n">
        <v>16</v>
      </c>
      <c r="F15" s="2" t="n">
        <v>17</v>
      </c>
      <c r="G15" s="3" t="n">
        <f aca="false">ROUND((C15+D15+E15+F15)/100*100,1)</f>
        <v>66</v>
      </c>
      <c r="H15" s="2" t="str">
        <f aca="false">IF(G15&gt;=90,"A+",IF(G15&gt;=80,"A",IF(G15&gt;=70,"B",IF(G15&gt;=60,"C",IF(G15&gt;=50,"D","F")))))</f>
        <v>C</v>
      </c>
    </row>
    <row r="16" customFormat="false" ht="15" hidden="false" customHeight="false" outlineLevel="0" collapsed="false">
      <c r="A16" s="2" t="s">
        <v>35</v>
      </c>
      <c r="B16" s="2" t="s">
        <v>36</v>
      </c>
      <c r="C16" s="2" t="n">
        <v>15</v>
      </c>
      <c r="D16" s="2" t="n">
        <v>15</v>
      </c>
      <c r="E16" s="2" t="n">
        <v>26</v>
      </c>
      <c r="F16" s="2" t="n">
        <v>30</v>
      </c>
      <c r="G16" s="3" t="n">
        <f aca="false">ROUND((C16+D16+E16+F16)/100*100,1)</f>
        <v>86</v>
      </c>
      <c r="H16" s="2" t="str">
        <f aca="false">IF(G16&gt;=90,"A+",IF(G16&gt;=80,"A",IF(G16&gt;=70,"B",IF(G16&gt;=60,"C",IF(G16&gt;=50,"D","F")))))</f>
        <v>A</v>
      </c>
    </row>
    <row r="17" customFormat="false" ht="15" hidden="false" customHeight="false" outlineLevel="0" collapsed="false">
      <c r="A17" s="2" t="s">
        <v>37</v>
      </c>
      <c r="B17" s="2" t="s">
        <v>38</v>
      </c>
      <c r="C17" s="2" t="n">
        <v>11</v>
      </c>
      <c r="D17" s="2" t="n">
        <v>11</v>
      </c>
      <c r="E17" s="2" t="n">
        <v>23</v>
      </c>
      <c r="F17" s="2" t="n">
        <v>30</v>
      </c>
      <c r="G17" s="3" t="n">
        <f aca="false">ROUND((C17+D17+E17+F17)/100*100,1)</f>
        <v>75</v>
      </c>
      <c r="H17" s="2" t="str">
        <f aca="false">IF(G17&gt;=90,"A+",IF(G17&gt;=80,"A",IF(G17&gt;=70,"B",IF(G17&gt;=60,"C",IF(G17&gt;=50,"D","F")))))</f>
        <v>B</v>
      </c>
    </row>
    <row r="18" customFormat="false" ht="15" hidden="false" customHeight="false" outlineLevel="0" collapsed="false">
      <c r="A18" s="2" t="s">
        <v>39</v>
      </c>
      <c r="B18" s="2" t="s">
        <v>40</v>
      </c>
      <c r="C18" s="2" t="n">
        <v>14</v>
      </c>
      <c r="D18" s="2" t="n">
        <v>20</v>
      </c>
      <c r="E18" s="2" t="n">
        <v>29</v>
      </c>
      <c r="F18" s="2" t="n">
        <v>24</v>
      </c>
      <c r="G18" s="3" t="n">
        <f aca="false">ROUND((C18+D18+E18+F18)/100*100,1)</f>
        <v>87</v>
      </c>
      <c r="H18" s="2" t="str">
        <f aca="false">IF(G18&gt;=90,"A+",IF(G18&gt;=80,"A",IF(G18&gt;=70,"B",IF(G18&gt;=60,"C",IF(G18&gt;=50,"D","F")))))</f>
        <v>A</v>
      </c>
    </row>
    <row r="19" customFormat="false" ht="15" hidden="false" customHeight="false" outlineLevel="0" collapsed="false">
      <c r="A19" s="2" t="s">
        <v>41</v>
      </c>
      <c r="B19" s="2" t="s">
        <v>42</v>
      </c>
      <c r="C19" s="2" t="n">
        <v>10</v>
      </c>
      <c r="D19" s="2" t="n">
        <v>17</v>
      </c>
      <c r="E19" s="2" t="n">
        <v>26</v>
      </c>
      <c r="F19" s="2" t="n">
        <v>20</v>
      </c>
      <c r="G19" s="3" t="n">
        <f aca="false">ROUND((C19+D19+E19+F19)/100*100,1)</f>
        <v>73</v>
      </c>
      <c r="H19" s="2" t="str">
        <f aca="false">IF(G19&gt;=90,"A+",IF(G19&gt;=80,"A",IF(G19&gt;=70,"B",IF(G19&gt;=60,"C",IF(G19&gt;=50,"D","F")))))</f>
        <v>B</v>
      </c>
    </row>
    <row r="20" customFormat="false" ht="15" hidden="false" customHeight="false" outlineLevel="0" collapsed="false">
      <c r="A20" s="2" t="s">
        <v>43</v>
      </c>
      <c r="B20" s="2" t="s">
        <v>44</v>
      </c>
      <c r="C20" s="2" t="n">
        <v>17</v>
      </c>
      <c r="D20" s="2" t="n">
        <v>10</v>
      </c>
      <c r="E20" s="2" t="n">
        <v>21</v>
      </c>
      <c r="F20" s="2" t="n">
        <v>24</v>
      </c>
      <c r="G20" s="3" t="n">
        <f aca="false">ROUND((C20+D20+E20+F20)/100*100,1)</f>
        <v>72</v>
      </c>
      <c r="H20" s="2" t="str">
        <f aca="false">IF(G20&gt;=90,"A+",IF(G20&gt;=80,"A",IF(G20&gt;=70,"B",IF(G20&gt;=60,"C",IF(G20&gt;=50,"D","F")))))</f>
        <v>B</v>
      </c>
    </row>
    <row r="21" customFormat="false" ht="15" hidden="false" customHeight="false" outlineLevel="0" collapsed="false">
      <c r="A21" s="2" t="s">
        <v>45</v>
      </c>
      <c r="B21" s="2" t="s">
        <v>46</v>
      </c>
      <c r="C21" s="2" t="n">
        <v>16</v>
      </c>
      <c r="D21" s="2" t="n">
        <v>16</v>
      </c>
      <c r="E21" s="2" t="n">
        <v>30</v>
      </c>
      <c r="F21" s="2" t="n">
        <v>17</v>
      </c>
      <c r="G21" s="3" t="n">
        <f aca="false">ROUND((C21+D21+E21+F21)/100*100,1)</f>
        <v>79</v>
      </c>
      <c r="H21" s="2" t="str">
        <f aca="false">IF(G21&gt;=90,"A+",IF(G21&gt;=80,"A",IF(G21&gt;=70,"B",IF(G21&gt;=60,"C",IF(G21&gt;=50,"D","F")))))</f>
        <v>B</v>
      </c>
    </row>
    <row r="22" customFormat="false" ht="15" hidden="false" customHeight="false" outlineLevel="0" collapsed="false">
      <c r="A22" s="2" t="s">
        <v>47</v>
      </c>
      <c r="B22" s="2" t="s">
        <v>48</v>
      </c>
      <c r="C22" s="2" t="n">
        <v>16</v>
      </c>
      <c r="D22" s="2" t="n">
        <v>18</v>
      </c>
      <c r="E22" s="2" t="n">
        <v>23</v>
      </c>
      <c r="F22" s="2" t="n">
        <v>19</v>
      </c>
      <c r="G22" s="3" t="n">
        <f aca="false">ROUND((C22+D22+E22+F22)/100*100,1)</f>
        <v>76</v>
      </c>
      <c r="H22" s="2" t="str">
        <f aca="false">IF(G22&gt;=90,"A+",IF(G22&gt;=80,"A",IF(G22&gt;=70,"B",IF(G22&gt;=60,"C",IF(G22&gt;=50,"D","F")))))</f>
        <v>B</v>
      </c>
    </row>
    <row r="23" customFormat="false" ht="15" hidden="false" customHeight="false" outlineLevel="0" collapsed="false">
      <c r="A23" s="2" t="s">
        <v>49</v>
      </c>
      <c r="B23" s="2" t="s">
        <v>50</v>
      </c>
      <c r="C23" s="2" t="n">
        <v>14</v>
      </c>
      <c r="D23" s="2" t="n">
        <v>16</v>
      </c>
      <c r="E23" s="2" t="n">
        <v>26</v>
      </c>
      <c r="F23" s="2" t="n">
        <v>27</v>
      </c>
      <c r="G23" s="3" t="n">
        <f aca="false">ROUND((C23+D23+E23+F23)/100*100,1)</f>
        <v>83</v>
      </c>
      <c r="H23" s="2" t="str">
        <f aca="false">IF(G23&gt;=90,"A+",IF(G23&gt;=80,"A",IF(G23&gt;=70,"B",IF(G23&gt;=60,"C",IF(G23&gt;=50,"D","F")))))</f>
        <v>A</v>
      </c>
    </row>
    <row r="24" customFormat="false" ht="15" hidden="false" customHeight="false" outlineLevel="0" collapsed="false">
      <c r="A24" s="2" t="s">
        <v>51</v>
      </c>
      <c r="B24" s="2" t="s">
        <v>52</v>
      </c>
      <c r="C24" s="2" t="n">
        <v>11</v>
      </c>
      <c r="D24" s="2" t="n">
        <v>12</v>
      </c>
      <c r="E24" s="2" t="n">
        <v>19</v>
      </c>
      <c r="F24" s="2" t="n">
        <v>22</v>
      </c>
      <c r="G24" s="3" t="n">
        <f aca="false">ROUND((C24+D24+E24+F24)/100*100,1)</f>
        <v>64</v>
      </c>
      <c r="H24" s="2" t="str">
        <f aca="false">IF(G24&gt;=90,"A+",IF(G24&gt;=80,"A",IF(G24&gt;=70,"B",IF(G24&gt;=60,"C",IF(G24&gt;=50,"D","F")))))</f>
        <v>C</v>
      </c>
    </row>
    <row r="25" customFormat="false" ht="15" hidden="false" customHeight="false" outlineLevel="0" collapsed="false">
      <c r="A25" s="2" t="s">
        <v>53</v>
      </c>
      <c r="B25" s="2" t="s">
        <v>19</v>
      </c>
      <c r="C25" s="2" t="n">
        <v>17</v>
      </c>
      <c r="D25" s="2" t="n">
        <v>19</v>
      </c>
      <c r="E25" s="2" t="n">
        <v>20</v>
      </c>
      <c r="F25" s="2" t="n">
        <v>23</v>
      </c>
      <c r="G25" s="3" t="n">
        <f aca="false">ROUND((C25+D25+E25+F25)/100*100,1)</f>
        <v>79</v>
      </c>
      <c r="H25" s="2" t="str">
        <f aca="false">IF(G25&gt;=90,"A+",IF(G25&gt;=80,"A",IF(G25&gt;=70,"B",IF(G25&gt;=60,"C",IF(G25&gt;=50,"D","F")))))</f>
        <v>B</v>
      </c>
    </row>
    <row r="26" customFormat="false" ht="15" hidden="false" customHeight="false" outlineLevel="0" collapsed="false">
      <c r="A26" s="2" t="s">
        <v>54</v>
      </c>
      <c r="B26" s="2" t="s">
        <v>55</v>
      </c>
      <c r="C26" s="2" t="n">
        <v>12</v>
      </c>
      <c r="D26" s="2" t="n">
        <v>16</v>
      </c>
      <c r="E26" s="2" t="n">
        <v>26</v>
      </c>
      <c r="F26" s="2" t="n">
        <v>25</v>
      </c>
      <c r="G26" s="3" t="n">
        <f aca="false">ROUND((C26+D26+E26+F26)/100*100,1)</f>
        <v>79</v>
      </c>
      <c r="H26" s="2" t="str">
        <f aca="false">IF(G26&gt;=90,"A+",IF(G26&gt;=80,"A",IF(G26&gt;=70,"B",IF(G26&gt;=60,"C",IF(G26&gt;=50,"D","F")))))</f>
        <v>B</v>
      </c>
    </row>
  </sheetData>
  <conditionalFormatting sqref="H2:H26">
    <cfRule type="expression" priority="2" aboveAverage="0" equalAverage="0" bottom="0" percent="0" rank="0" text="" dxfId="4">
      <formula>H2="F"</formula>
    </cfRule>
    <cfRule type="expression" priority="3" aboveAverage="0" equalAverage="0" bottom="0" percent="0" rank="0" text="" dxfId="5">
      <formula>OR(H2="A",H2="A+")</formula>
    </cfRule>
  </conditionalFormatting>
  <conditionalFormatting sqref="G2:G26">
    <cfRule type="expression" priority="4" aboveAverage="0" equalAverage="0" bottom="0" percent="0" rank="0" text="" dxfId="6">
      <formula>G2&lt;50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</cols>
  <sheetData>
    <row r="1" customFormat="false" ht="19.7" hidden="false" customHeight="false" outlineLevel="0" collapsed="false">
      <c r="A1" s="4" t="s">
        <v>56</v>
      </c>
    </row>
    <row r="3" customFormat="false" ht="17.35" hidden="false" customHeight="false" outlineLevel="0" collapsed="false">
      <c r="A3" s="5" t="s">
        <v>57</v>
      </c>
      <c r="B3" s="6" t="n">
        <f aca="false">ROUND(AVERAGE('Grade Book'!G2:G26),1)</f>
        <v>75.9</v>
      </c>
    </row>
    <row r="4" customFormat="false" ht="17.35" hidden="false" customHeight="false" outlineLevel="0" collapsed="false">
      <c r="A4" s="5" t="s">
        <v>58</v>
      </c>
      <c r="B4" s="7" t="n">
        <f aca="false">MAX('Grade Book'!G2:G26)</f>
        <v>89</v>
      </c>
    </row>
    <row r="5" customFormat="false" ht="17.35" hidden="false" customHeight="false" outlineLevel="0" collapsed="false">
      <c r="A5" s="5" t="s">
        <v>59</v>
      </c>
      <c r="B5" s="7" t="n">
        <f aca="false">MIN('Grade Book'!G2:G26)</f>
        <v>64</v>
      </c>
    </row>
    <row r="7" customFormat="false" ht="15" hidden="false" customHeight="false" outlineLevel="0" collapsed="false">
      <c r="A7" s="8" t="s">
        <v>60</v>
      </c>
    </row>
    <row r="8" customFormat="false" ht="15" hidden="false" customHeight="false" outlineLevel="0" collapsed="false">
      <c r="A8" s="9" t="s">
        <v>7</v>
      </c>
      <c r="B8" s="9" t="s">
        <v>61</v>
      </c>
    </row>
    <row r="9" customFormat="false" ht="15" hidden="false" customHeight="false" outlineLevel="0" collapsed="false">
      <c r="A9" s="10" t="s">
        <v>62</v>
      </c>
      <c r="B9" s="10" t="n">
        <f aca="false">COUNTIF('Grade Book'!$H$2:$H$26,A9)</f>
        <v>0</v>
      </c>
    </row>
    <row r="10" customFormat="false" ht="15" hidden="false" customHeight="false" outlineLevel="0" collapsed="false">
      <c r="A10" s="10" t="s">
        <v>63</v>
      </c>
      <c r="B10" s="10" t="n">
        <f aca="false">COUNTIF('Grade Book'!$H$2:$H$26,A10)</f>
        <v>8</v>
      </c>
    </row>
    <row r="11" customFormat="false" ht="15" hidden="false" customHeight="false" outlineLevel="0" collapsed="false">
      <c r="A11" s="10" t="s">
        <v>64</v>
      </c>
      <c r="B11" s="10" t="n">
        <f aca="false">COUNTIF('Grade Book'!$H$2:$H$26,A11)</f>
        <v>11</v>
      </c>
    </row>
    <row r="12" customFormat="false" ht="15" hidden="false" customHeight="false" outlineLevel="0" collapsed="false">
      <c r="A12" s="10" t="s">
        <v>65</v>
      </c>
      <c r="B12" s="10" t="n">
        <f aca="false">COUNTIF('Grade Book'!$H$2:$H$26,A12)</f>
        <v>6</v>
      </c>
    </row>
    <row r="13" customFormat="false" ht="15" hidden="false" customHeight="false" outlineLevel="0" collapsed="false">
      <c r="A13" s="10" t="s">
        <v>66</v>
      </c>
      <c r="B13" s="10" t="n">
        <f aca="false">COUNTIF('Grade Book'!$H$2:$H$26,A13)</f>
        <v>0</v>
      </c>
    </row>
    <row r="14" customFormat="false" ht="15" hidden="false" customHeight="false" outlineLevel="0" collapsed="false">
      <c r="A14" s="10" t="s">
        <v>67</v>
      </c>
      <c r="B14" s="10" t="n">
        <f aca="false">COUNTIF('Grade Book'!$H$2:$H$26,A14)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2026-08-18T07:05:57Z</dcterms:created>
  <dc:creator>openpyxl</dc:creator>
  <dc:description/>
  <dc:language>en-US</dc:language>
  <cp:lastModifiedBy/>
  <dcterms:modified xsi:type="dcterms:W3CDTF">2026-08-18T07:05:57Z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