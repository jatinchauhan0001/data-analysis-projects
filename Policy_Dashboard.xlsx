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icy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<sst xmlns="http://schemas.openxmlformats.org/spreadsheetml/2006/main" count="148" uniqueCount="105">
  <si>
    <t xml:space="preserve">Policy ID</t>
  </si>
  <si>
    <t xml:space="preserve">Customer Name</t>
  </si>
  <si>
    <t xml:space="preserve">Policy Type</t>
  </si>
  <si>
    <t xml:space="preserve">Start Date</t>
  </si>
  <si>
    <t xml:space="preserve">End Date</t>
  </si>
  <si>
    <t xml:space="preserve">Premium (INR)</t>
  </si>
  <si>
    <t xml:space="preserve">Days to Expiry</t>
  </si>
  <si>
    <t xml:space="preserve">Status</t>
  </si>
  <si>
    <t xml:space="preserve">POL1001</t>
  </si>
  <si>
    <t xml:space="preserve">Neha Sharma</t>
  </si>
  <si>
    <t xml:space="preserve">Life</t>
  </si>
  <si>
    <t xml:space="preserve">POL1002</t>
  </si>
  <si>
    <t xml:space="preserve">Neha Kapoor</t>
  </si>
  <si>
    <t xml:space="preserve">Health</t>
  </si>
  <si>
    <t xml:space="preserve">POL1003</t>
  </si>
  <si>
    <t xml:space="preserve">Rahul Verma</t>
  </si>
  <si>
    <t xml:space="preserve">Motor</t>
  </si>
  <si>
    <t xml:space="preserve">POL1004</t>
  </si>
  <si>
    <t xml:space="preserve">Rahul Kapoor</t>
  </si>
  <si>
    <t xml:space="preserve">POL1005</t>
  </si>
  <si>
    <t xml:space="preserve">Kavita Mehta</t>
  </si>
  <si>
    <t xml:space="preserve">Travel</t>
  </si>
  <si>
    <t xml:space="preserve">POL1006</t>
  </si>
  <si>
    <t xml:space="preserve">Isha Yadav</t>
  </si>
  <si>
    <t xml:space="preserve">POL1007</t>
  </si>
  <si>
    <t xml:space="preserve">Neha Verma</t>
  </si>
  <si>
    <t xml:space="preserve">Home</t>
  </si>
  <si>
    <t xml:space="preserve">POL1008</t>
  </si>
  <si>
    <t xml:space="preserve">Ritu Kumar</t>
  </si>
  <si>
    <t xml:space="preserve">POL1009</t>
  </si>
  <si>
    <t xml:space="preserve">Karan Verma</t>
  </si>
  <si>
    <t xml:space="preserve">POL1010</t>
  </si>
  <si>
    <t xml:space="preserve">Manoj Singh</t>
  </si>
  <si>
    <t xml:space="preserve">POL1011</t>
  </si>
  <si>
    <t xml:space="preserve">Aman Singh</t>
  </si>
  <si>
    <t xml:space="preserve">POL1012</t>
  </si>
  <si>
    <t xml:space="preserve">Divya Gupta</t>
  </si>
  <si>
    <t xml:space="preserve">POL1013</t>
  </si>
  <si>
    <t xml:space="preserve">Aman Joshi</t>
  </si>
  <si>
    <t xml:space="preserve">POL1014</t>
  </si>
  <si>
    <t xml:space="preserve">Nikhil Chauhan</t>
  </si>
  <si>
    <t xml:space="preserve">POL1015</t>
  </si>
  <si>
    <t xml:space="preserve">Sameer Sharma</t>
  </si>
  <si>
    <t xml:space="preserve">POL1016</t>
  </si>
  <si>
    <t xml:space="preserve">Arjun Verma</t>
  </si>
  <si>
    <t xml:space="preserve">POL1017</t>
  </si>
  <si>
    <t xml:space="preserve">Pooja Chauhan</t>
  </si>
  <si>
    <t xml:space="preserve">POL1018</t>
  </si>
  <si>
    <t xml:space="preserve">Kavita Kapoor</t>
  </si>
  <si>
    <t xml:space="preserve">POL1019</t>
  </si>
  <si>
    <t xml:space="preserve">Manoj Chauhan</t>
  </si>
  <si>
    <t xml:space="preserve">POL1020</t>
  </si>
  <si>
    <t xml:space="preserve">Pooja Verma</t>
  </si>
  <si>
    <t xml:space="preserve">POL1021</t>
  </si>
  <si>
    <t xml:space="preserve">Isha Joshi</t>
  </si>
  <si>
    <t xml:space="preserve">POL1022</t>
  </si>
  <si>
    <t xml:space="preserve">Nikhil Kapoor</t>
  </si>
  <si>
    <t xml:space="preserve">POL1023</t>
  </si>
  <si>
    <t xml:space="preserve">Anjali Kumar</t>
  </si>
  <si>
    <t xml:space="preserve">POL1024</t>
  </si>
  <si>
    <t xml:space="preserve">Sanya Mehta</t>
  </si>
  <si>
    <t xml:space="preserve">POL1025</t>
  </si>
  <si>
    <t xml:space="preserve">Suresh Verma</t>
  </si>
  <si>
    <t xml:space="preserve">POL1026</t>
  </si>
  <si>
    <t xml:space="preserve">Rohit Gupta</t>
  </si>
  <si>
    <t xml:space="preserve">POL1027</t>
  </si>
  <si>
    <t xml:space="preserve">Rahul Joshi</t>
  </si>
  <si>
    <t xml:space="preserve">POL1028</t>
  </si>
  <si>
    <t xml:space="preserve">Divya Kumar</t>
  </si>
  <si>
    <t xml:space="preserve">POL1029</t>
  </si>
  <si>
    <t xml:space="preserve">Aman Verma</t>
  </si>
  <si>
    <t xml:space="preserve">POL1030</t>
  </si>
  <si>
    <t xml:space="preserve">Vikram Mehta</t>
  </si>
  <si>
    <t xml:space="preserve">POL1031</t>
  </si>
  <si>
    <t xml:space="preserve">Ritu Chauhan</t>
  </si>
  <si>
    <t xml:space="preserve">POL1032</t>
  </si>
  <si>
    <t xml:space="preserve">Karan Yadav</t>
  </si>
  <si>
    <t xml:space="preserve">POL1033</t>
  </si>
  <si>
    <t xml:space="preserve">Kavita Singh</t>
  </si>
  <si>
    <t xml:space="preserve">POL1034</t>
  </si>
  <si>
    <t xml:space="preserve">Anjali Singh</t>
  </si>
  <si>
    <t xml:space="preserve">POL1035</t>
  </si>
  <si>
    <t xml:space="preserve">Priya Singh</t>
  </si>
  <si>
    <t xml:space="preserve">POL1036</t>
  </si>
  <si>
    <t xml:space="preserve">Suresh Singh</t>
  </si>
  <si>
    <t xml:space="preserve">POL1037</t>
  </si>
  <si>
    <t xml:space="preserve">Vikram Joshi</t>
  </si>
  <si>
    <t xml:space="preserve">POL1038</t>
  </si>
  <si>
    <t xml:space="preserve">Isha Singh</t>
  </si>
  <si>
    <t xml:space="preserve">POL1039</t>
  </si>
  <si>
    <t xml:space="preserve">Isha Chauhan</t>
  </si>
  <si>
    <t xml:space="preserve">POL1040</t>
  </si>
  <si>
    <t xml:space="preserve">Policy Tracking Dashboard</t>
  </si>
  <si>
    <t xml:space="preserve">Reference date: 18-Aug-2026</t>
  </si>
  <si>
    <t xml:space="preserve">Summary by Status</t>
  </si>
  <si>
    <t xml:space="preserve">Total Policies</t>
  </si>
  <si>
    <t xml:space="preserve">Policy Count</t>
  </si>
  <si>
    <t xml:space="preserve">Active</t>
  </si>
  <si>
    <t xml:space="preserve">Renewal Due</t>
  </si>
  <si>
    <t xml:space="preserve">Total Premium (INR)</t>
  </si>
  <si>
    <t xml:space="preserve">Expired</t>
  </si>
  <si>
    <t xml:space="preserve">Summary by Policy Type</t>
  </si>
  <si>
    <t xml:space="preserve">Renewals Due (&lt;=30 days)</t>
  </si>
  <si>
    <t xml:space="preserve">Type</t>
  </si>
  <si>
    <t xml:space="preserve">Count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</si>
</sst>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"/>
    <numFmt numFmtId="167" formatCode="0"/>
    <numFmt numFmtId="168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20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203864"/>
      <name val="Arial"/>
      <family val="0"/>
      <charset val="1"/>
    </font>
    <font>
      <b val="true"/>
      <sz val="20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olicyTable" displayName="PolicyTable" ref="A1:H41" headerRowCount="1" totalsRowCount="0" totalsRowShown="0">
  <autoFilter ref="A1:H41"/>
  <tableColumns count="8">
    <tableColumn id="1" name="Policy ID"/>
    <tableColumn id="2" name="Customer Name"/>
    <tableColumn id="3" name="Policy Type"/>
    <tableColumn id="4" name="Start Date"/>
    <tableColumn id="5" name="End Date"/>
    <tableColumn id="6" name="Premium (INR)"/>
    <tableColumn id="7" name="Days to Expiry"/>
    <tableColumn id="8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8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3" t="n">
        <v>45972</v>
      </c>
      <c r="E2" s="3" t="n">
        <v>46337</v>
      </c>
      <c r="F2" s="4" t="n">
        <v>8000</v>
      </c>
      <c r="G2" s="5" t="n">
        <f aca="false">E2-DATE(2026,8,18)</f>
        <v>85</v>
      </c>
      <c r="H2" s="2" t="str">
        <f aca="false">IF(G2&lt;0,"Expired",IF(G2&lt;=30,"Renewal Due","Active"))</f>
        <v>Active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3" t="n">
        <v>45618</v>
      </c>
      <c r="E3" s="3" t="n">
        <v>45983</v>
      </c>
      <c r="F3" s="4" t="n">
        <v>3500</v>
      </c>
      <c r="G3" s="5" t="n">
        <f aca="false">E3-DATE(2026,8,18)</f>
        <v>-269</v>
      </c>
      <c r="H3" s="2" t="str">
        <f aca="false">IF(G3&lt;0,"Expired",IF(G3&lt;=30,"Renewal Due","Active"))</f>
        <v>Expired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3" t="n">
        <v>45984</v>
      </c>
      <c r="E4" s="3" t="n">
        <v>46714</v>
      </c>
      <c r="F4" s="4" t="n">
        <v>18000</v>
      </c>
      <c r="G4" s="5" t="n">
        <f aca="false">E4-DATE(2026,8,18)</f>
        <v>462</v>
      </c>
      <c r="H4" s="2" t="str">
        <f aca="false">IF(G4&lt;0,"Expired",IF(G4&lt;=30,"Renewal Due","Active"))</f>
        <v>Active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16</v>
      </c>
      <c r="D5" s="3" t="n">
        <v>45557</v>
      </c>
      <c r="E5" s="3" t="n">
        <v>46287</v>
      </c>
      <c r="F5" s="4" t="n">
        <v>27500</v>
      </c>
      <c r="G5" s="5" t="n">
        <f aca="false">E5-DATE(2026,8,18)</f>
        <v>35</v>
      </c>
      <c r="H5" s="2" t="str">
        <f aca="false">IF(G5&lt;0,"Expired",IF(G5&lt;=30,"Renewal Due","Active"))</f>
        <v>Active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3" t="n">
        <v>45938</v>
      </c>
      <c r="E6" s="3" t="n">
        <v>46118</v>
      </c>
      <c r="F6" s="4" t="n">
        <v>8000</v>
      </c>
      <c r="G6" s="5" t="n">
        <f aca="false">E6-DATE(2026,8,18)</f>
        <v>-134</v>
      </c>
      <c r="H6" s="2" t="str">
        <f aca="false">IF(G6&lt;0,"Expired",IF(G6&lt;=30,"Renewal Due","Active"))</f>
        <v>Expired</v>
      </c>
    </row>
    <row r="7" customFormat="false" ht="15" hidden="false" customHeight="false" outlineLevel="0" collapsed="false">
      <c r="A7" s="2" t="s">
        <v>22</v>
      </c>
      <c r="B7" s="2" t="s">
        <v>23</v>
      </c>
      <c r="C7" s="2" t="s">
        <v>10</v>
      </c>
      <c r="D7" s="3" t="n">
        <v>46063</v>
      </c>
      <c r="E7" s="3" t="n">
        <v>46428</v>
      </c>
      <c r="F7" s="4" t="n">
        <v>21000</v>
      </c>
      <c r="G7" s="5" t="n">
        <f aca="false">E7-DATE(2026,8,18)</f>
        <v>176</v>
      </c>
      <c r="H7" s="2" t="str">
        <f aca="false">IF(G7&lt;0,"Expired",IF(G7&lt;=30,"Renewal Due","Active"))</f>
        <v>Active</v>
      </c>
    </row>
    <row r="8" customFormat="false" ht="15" hidden="false" customHeight="false" outlineLevel="0" collapsed="false">
      <c r="A8" s="2" t="s">
        <v>24</v>
      </c>
      <c r="B8" s="2" t="s">
        <v>25</v>
      </c>
      <c r="C8" s="2" t="s">
        <v>26</v>
      </c>
      <c r="D8" s="3" t="n">
        <v>46123</v>
      </c>
      <c r="E8" s="3" t="n">
        <v>46488</v>
      </c>
      <c r="F8" s="4" t="n">
        <v>21000</v>
      </c>
      <c r="G8" s="5" t="n">
        <f aca="false">E8-DATE(2026,8,18)</f>
        <v>236</v>
      </c>
      <c r="H8" s="2" t="str">
        <f aca="false">IF(G8&lt;0,"Expired",IF(G8&lt;=30,"Renewal Due","Active"))</f>
        <v>Active</v>
      </c>
    </row>
    <row r="9" customFormat="false" ht="15" hidden="false" customHeight="false" outlineLevel="0" collapsed="false">
      <c r="A9" s="2" t="s">
        <v>27</v>
      </c>
      <c r="B9" s="2" t="s">
        <v>28</v>
      </c>
      <c r="C9" s="2" t="s">
        <v>13</v>
      </c>
      <c r="D9" s="3" t="n">
        <v>45752</v>
      </c>
      <c r="E9" s="3" t="n">
        <v>46482</v>
      </c>
      <c r="F9" s="4" t="n">
        <v>5200</v>
      </c>
      <c r="G9" s="5" t="n">
        <f aca="false">E9-DATE(2026,8,18)</f>
        <v>230</v>
      </c>
      <c r="H9" s="2" t="str">
        <f aca="false">IF(G9&lt;0,"Expired",IF(G9&lt;=30,"Renewal Due","Active"))</f>
        <v>Active</v>
      </c>
    </row>
    <row r="10" customFormat="false" ht="15" hidden="false" customHeight="false" outlineLevel="0" collapsed="false">
      <c r="A10" s="2" t="s">
        <v>29</v>
      </c>
      <c r="B10" s="2" t="s">
        <v>30</v>
      </c>
      <c r="C10" s="2" t="s">
        <v>21</v>
      </c>
      <c r="D10" s="3" t="n">
        <v>45922</v>
      </c>
      <c r="E10" s="3" t="n">
        <v>46652</v>
      </c>
      <c r="F10" s="4" t="n">
        <v>21000</v>
      </c>
      <c r="G10" s="5" t="n">
        <f aca="false">E10-DATE(2026,8,18)</f>
        <v>400</v>
      </c>
      <c r="H10" s="2" t="str">
        <f aca="false">IF(G10&lt;0,"Expired",IF(G10&lt;=30,"Renewal Due","Active"))</f>
        <v>Active</v>
      </c>
    </row>
    <row r="11" customFormat="false" ht="15" hidden="false" customHeight="false" outlineLevel="0" collapsed="false">
      <c r="A11" s="2" t="s">
        <v>31</v>
      </c>
      <c r="B11" s="2" t="s">
        <v>32</v>
      </c>
      <c r="C11" s="2" t="s">
        <v>13</v>
      </c>
      <c r="D11" s="3" t="n">
        <v>46176</v>
      </c>
      <c r="E11" s="3" t="n">
        <v>46541</v>
      </c>
      <c r="F11" s="4" t="n">
        <v>15500</v>
      </c>
      <c r="G11" s="5" t="n">
        <f aca="false">E11-DATE(2026,8,18)</f>
        <v>289</v>
      </c>
      <c r="H11" s="2" t="str">
        <f aca="false">IF(G11&lt;0,"Expired",IF(G11&lt;=30,"Renewal Due","Active"))</f>
        <v>Active</v>
      </c>
    </row>
    <row r="12" customFormat="false" ht="15" hidden="false" customHeight="false" outlineLevel="0" collapsed="false">
      <c r="A12" s="2" t="s">
        <v>33</v>
      </c>
      <c r="B12" s="2" t="s">
        <v>34</v>
      </c>
      <c r="C12" s="2" t="s">
        <v>13</v>
      </c>
      <c r="D12" s="3" t="n">
        <v>45833</v>
      </c>
      <c r="E12" s="3" t="n">
        <v>46198</v>
      </c>
      <c r="F12" s="4" t="n">
        <v>9800</v>
      </c>
      <c r="G12" s="5" t="n">
        <f aca="false">E12-DATE(2026,8,18)</f>
        <v>-54</v>
      </c>
      <c r="H12" s="2" t="str">
        <f aca="false">IF(G12&lt;0,"Expired",IF(G12&lt;=30,"Renewal Due","Active"))</f>
        <v>Expired</v>
      </c>
    </row>
    <row r="13" customFormat="false" ht="15" hidden="false" customHeight="false" outlineLevel="0" collapsed="false">
      <c r="A13" s="2" t="s">
        <v>35</v>
      </c>
      <c r="B13" s="2" t="s">
        <v>36</v>
      </c>
      <c r="C13" s="2" t="s">
        <v>10</v>
      </c>
      <c r="D13" s="3" t="n">
        <v>45859</v>
      </c>
      <c r="E13" s="3" t="n">
        <v>46224</v>
      </c>
      <c r="F13" s="4" t="n">
        <v>15500</v>
      </c>
      <c r="G13" s="5" t="n">
        <f aca="false">E13-DATE(2026,8,18)</f>
        <v>-28</v>
      </c>
      <c r="H13" s="2" t="str">
        <f aca="false">IF(G13&lt;0,"Expired",IF(G13&lt;=30,"Renewal Due","Active"))</f>
        <v>Expired</v>
      </c>
    </row>
    <row r="14" customFormat="false" ht="15" hidden="false" customHeight="false" outlineLevel="0" collapsed="false">
      <c r="A14" s="2" t="s">
        <v>37</v>
      </c>
      <c r="B14" s="2" t="s">
        <v>38</v>
      </c>
      <c r="C14" s="2" t="s">
        <v>16</v>
      </c>
      <c r="D14" s="3" t="n">
        <v>45676</v>
      </c>
      <c r="E14" s="3" t="n">
        <v>46041</v>
      </c>
      <c r="F14" s="4" t="n">
        <v>8000</v>
      </c>
      <c r="G14" s="5" t="n">
        <f aca="false">E14-DATE(2026,8,18)</f>
        <v>-211</v>
      </c>
      <c r="H14" s="2" t="str">
        <f aca="false">IF(G14&lt;0,"Expired",IF(G14&lt;=30,"Renewal Due","Active"))</f>
        <v>Expired</v>
      </c>
    </row>
    <row r="15" customFormat="false" ht="15" hidden="false" customHeight="false" outlineLevel="0" collapsed="false">
      <c r="A15" s="2" t="s">
        <v>39</v>
      </c>
      <c r="B15" s="2" t="s">
        <v>40</v>
      </c>
      <c r="C15" s="2" t="s">
        <v>10</v>
      </c>
      <c r="D15" s="3" t="n">
        <v>45567</v>
      </c>
      <c r="E15" s="3" t="n">
        <v>46297</v>
      </c>
      <c r="F15" s="4" t="n">
        <v>12000</v>
      </c>
      <c r="G15" s="5" t="n">
        <f aca="false">E15-DATE(2026,8,18)</f>
        <v>45</v>
      </c>
      <c r="H15" s="2" t="str">
        <f aca="false">IF(G15&lt;0,"Expired",IF(G15&lt;=30,"Renewal Due","Active"))</f>
        <v>Active</v>
      </c>
    </row>
    <row r="16" customFormat="false" ht="15" hidden="false" customHeight="false" outlineLevel="0" collapsed="false">
      <c r="A16" s="2" t="s">
        <v>41</v>
      </c>
      <c r="B16" s="2" t="s">
        <v>42</v>
      </c>
      <c r="C16" s="2" t="s">
        <v>16</v>
      </c>
      <c r="D16" s="3" t="n">
        <v>46190</v>
      </c>
      <c r="E16" s="3" t="n">
        <v>46555</v>
      </c>
      <c r="F16" s="4" t="n">
        <v>27500</v>
      </c>
      <c r="G16" s="5" t="n">
        <f aca="false">E16-DATE(2026,8,18)</f>
        <v>303</v>
      </c>
      <c r="H16" s="2" t="str">
        <f aca="false">IF(G16&lt;0,"Expired",IF(G16&lt;=30,"Renewal Due","Active"))</f>
        <v>Active</v>
      </c>
    </row>
    <row r="17" customFormat="false" ht="15" hidden="false" customHeight="false" outlineLevel="0" collapsed="false">
      <c r="A17" s="2" t="s">
        <v>43</v>
      </c>
      <c r="B17" s="2" t="s">
        <v>44</v>
      </c>
      <c r="C17" s="2" t="s">
        <v>16</v>
      </c>
      <c r="D17" s="3" t="n">
        <v>45642</v>
      </c>
      <c r="E17" s="3" t="n">
        <v>46007</v>
      </c>
      <c r="F17" s="4" t="n">
        <v>12000</v>
      </c>
      <c r="G17" s="5" t="n">
        <f aca="false">E17-DATE(2026,8,18)</f>
        <v>-245</v>
      </c>
      <c r="H17" s="2" t="str">
        <f aca="false">IF(G17&lt;0,"Expired",IF(G17&lt;=30,"Renewal Due","Active"))</f>
        <v>Expired</v>
      </c>
    </row>
    <row r="18" customFormat="false" ht="15" hidden="false" customHeight="false" outlineLevel="0" collapsed="false">
      <c r="A18" s="2" t="s">
        <v>45</v>
      </c>
      <c r="B18" s="2" t="s">
        <v>46</v>
      </c>
      <c r="C18" s="2" t="s">
        <v>26</v>
      </c>
      <c r="D18" s="3" t="n">
        <v>46076</v>
      </c>
      <c r="E18" s="3" t="n">
        <v>46441</v>
      </c>
      <c r="F18" s="4" t="n">
        <v>8000</v>
      </c>
      <c r="G18" s="5" t="n">
        <f aca="false">E18-DATE(2026,8,18)</f>
        <v>189</v>
      </c>
      <c r="H18" s="2" t="str">
        <f aca="false">IF(G18&lt;0,"Expired",IF(G18&lt;=30,"Renewal Due","Active"))</f>
        <v>Active</v>
      </c>
    </row>
    <row r="19" customFormat="false" ht="15" hidden="false" customHeight="false" outlineLevel="0" collapsed="false">
      <c r="A19" s="2" t="s">
        <v>47</v>
      </c>
      <c r="B19" s="2" t="s">
        <v>48</v>
      </c>
      <c r="C19" s="2" t="s">
        <v>21</v>
      </c>
      <c r="D19" s="3" t="n">
        <v>45953</v>
      </c>
      <c r="E19" s="3" t="n">
        <v>46683</v>
      </c>
      <c r="F19" s="4" t="n">
        <v>27500</v>
      </c>
      <c r="G19" s="5" t="n">
        <f aca="false">E19-DATE(2026,8,18)</f>
        <v>431</v>
      </c>
      <c r="H19" s="2" t="str">
        <f aca="false">IF(G19&lt;0,"Expired",IF(G19&lt;=30,"Renewal Due","Active"))</f>
        <v>Active</v>
      </c>
    </row>
    <row r="20" customFormat="false" ht="15" hidden="false" customHeight="false" outlineLevel="0" collapsed="false">
      <c r="A20" s="2" t="s">
        <v>49</v>
      </c>
      <c r="B20" s="2" t="s">
        <v>50</v>
      </c>
      <c r="C20" s="2" t="s">
        <v>10</v>
      </c>
      <c r="D20" s="3" t="n">
        <v>45998</v>
      </c>
      <c r="E20" s="3" t="n">
        <v>46363</v>
      </c>
      <c r="F20" s="4" t="n">
        <v>4300</v>
      </c>
      <c r="G20" s="5" t="n">
        <f aca="false">E20-DATE(2026,8,18)</f>
        <v>111</v>
      </c>
      <c r="H20" s="2" t="str">
        <f aca="false">IF(G20&lt;0,"Expired",IF(G20&lt;=30,"Renewal Due","Active"))</f>
        <v>Active</v>
      </c>
    </row>
    <row r="21" customFormat="false" ht="15" hidden="false" customHeight="false" outlineLevel="0" collapsed="false">
      <c r="A21" s="2" t="s">
        <v>51</v>
      </c>
      <c r="B21" s="2" t="s">
        <v>52</v>
      </c>
      <c r="C21" s="2" t="s">
        <v>13</v>
      </c>
      <c r="D21" s="3" t="n">
        <v>46110</v>
      </c>
      <c r="E21" s="3" t="n">
        <v>46475</v>
      </c>
      <c r="F21" s="4" t="n">
        <v>8000</v>
      </c>
      <c r="G21" s="5" t="n">
        <f aca="false">E21-DATE(2026,8,18)</f>
        <v>223</v>
      </c>
      <c r="H21" s="2" t="str">
        <f aca="false">IF(G21&lt;0,"Expired",IF(G21&lt;=30,"Renewal Due","Active"))</f>
        <v>Active</v>
      </c>
    </row>
    <row r="22" customFormat="false" ht="15" hidden="false" customHeight="false" outlineLevel="0" collapsed="false">
      <c r="A22" s="2" t="s">
        <v>53</v>
      </c>
      <c r="B22" s="2" t="s">
        <v>54</v>
      </c>
      <c r="C22" s="2" t="s">
        <v>13</v>
      </c>
      <c r="D22" s="3" t="n">
        <v>45828</v>
      </c>
      <c r="E22" s="3" t="n">
        <v>46193</v>
      </c>
      <c r="F22" s="4" t="n">
        <v>18000</v>
      </c>
      <c r="G22" s="5" t="n">
        <f aca="false">E22-DATE(2026,8,18)</f>
        <v>-59</v>
      </c>
      <c r="H22" s="2" t="str">
        <f aca="false">IF(G22&lt;0,"Expired",IF(G22&lt;=30,"Renewal Due","Active"))</f>
        <v>Expired</v>
      </c>
    </row>
    <row r="23" customFormat="false" ht="15" hidden="false" customHeight="false" outlineLevel="0" collapsed="false">
      <c r="A23" s="2" t="s">
        <v>55</v>
      </c>
      <c r="B23" s="2" t="s">
        <v>56</v>
      </c>
      <c r="C23" s="2" t="s">
        <v>10</v>
      </c>
      <c r="D23" s="3" t="n">
        <v>45656</v>
      </c>
      <c r="E23" s="3" t="n">
        <v>45836</v>
      </c>
      <c r="F23" s="4" t="n">
        <v>5200</v>
      </c>
      <c r="G23" s="5" t="n">
        <f aca="false">E23-DATE(2026,8,18)</f>
        <v>-416</v>
      </c>
      <c r="H23" s="2" t="str">
        <f aca="false">IF(G23&lt;0,"Expired",IF(G23&lt;=30,"Renewal Due","Active"))</f>
        <v>Expired</v>
      </c>
    </row>
    <row r="24" customFormat="false" ht="15" hidden="false" customHeight="false" outlineLevel="0" collapsed="false">
      <c r="A24" s="2" t="s">
        <v>57</v>
      </c>
      <c r="B24" s="2" t="s">
        <v>58</v>
      </c>
      <c r="C24" s="2" t="s">
        <v>10</v>
      </c>
      <c r="D24" s="3" t="n">
        <v>46108</v>
      </c>
      <c r="E24" s="3" t="n">
        <v>46473</v>
      </c>
      <c r="F24" s="4" t="n">
        <v>27500</v>
      </c>
      <c r="G24" s="5" t="n">
        <f aca="false">E24-DATE(2026,8,18)</f>
        <v>221</v>
      </c>
      <c r="H24" s="2" t="str">
        <f aca="false">IF(G24&lt;0,"Expired",IF(G24&lt;=30,"Renewal Due","Active"))</f>
        <v>Active</v>
      </c>
    </row>
    <row r="25" customFormat="false" ht="15" hidden="false" customHeight="false" outlineLevel="0" collapsed="false">
      <c r="A25" s="2" t="s">
        <v>59</v>
      </c>
      <c r="B25" s="2" t="s">
        <v>60</v>
      </c>
      <c r="C25" s="2" t="s">
        <v>13</v>
      </c>
      <c r="D25" s="3" t="n">
        <v>45953</v>
      </c>
      <c r="E25" s="3" t="n">
        <v>46683</v>
      </c>
      <c r="F25" s="4" t="n">
        <v>8000</v>
      </c>
      <c r="G25" s="5" t="n">
        <f aca="false">E25-DATE(2026,8,18)</f>
        <v>431</v>
      </c>
      <c r="H25" s="2" t="str">
        <f aca="false">IF(G25&lt;0,"Expired",IF(G25&lt;=30,"Renewal Due","Active"))</f>
        <v>Active</v>
      </c>
    </row>
    <row r="26" customFormat="false" ht="15" hidden="false" customHeight="false" outlineLevel="0" collapsed="false">
      <c r="A26" s="2" t="s">
        <v>61</v>
      </c>
      <c r="B26" s="2" t="s">
        <v>62</v>
      </c>
      <c r="C26" s="2" t="s">
        <v>10</v>
      </c>
      <c r="D26" s="3" t="n">
        <v>45568</v>
      </c>
      <c r="E26" s="3" t="n">
        <v>46298</v>
      </c>
      <c r="F26" s="4" t="n">
        <v>18000</v>
      </c>
      <c r="G26" s="5" t="n">
        <f aca="false">E26-DATE(2026,8,18)</f>
        <v>46</v>
      </c>
      <c r="H26" s="2" t="str">
        <f aca="false">IF(G26&lt;0,"Expired",IF(G26&lt;=30,"Renewal Due","Active"))</f>
        <v>Active</v>
      </c>
    </row>
    <row r="27" customFormat="false" ht="15" hidden="false" customHeight="false" outlineLevel="0" collapsed="false">
      <c r="A27" s="2" t="s">
        <v>63</v>
      </c>
      <c r="B27" s="2" t="s">
        <v>64</v>
      </c>
      <c r="C27" s="2" t="s">
        <v>10</v>
      </c>
      <c r="D27" s="3" t="n">
        <v>46057</v>
      </c>
      <c r="E27" s="3" t="n">
        <v>46787</v>
      </c>
      <c r="F27" s="4" t="n">
        <v>4300</v>
      </c>
      <c r="G27" s="5" t="n">
        <f aca="false">E27-DATE(2026,8,18)</f>
        <v>535</v>
      </c>
      <c r="H27" s="2" t="str">
        <f aca="false">IF(G27&lt;0,"Expired",IF(G27&lt;=30,"Renewal Due","Active"))</f>
        <v>Active</v>
      </c>
    </row>
    <row r="28" customFormat="false" ht="15" hidden="false" customHeight="false" outlineLevel="0" collapsed="false">
      <c r="A28" s="2" t="s">
        <v>65</v>
      </c>
      <c r="B28" s="2" t="s">
        <v>66</v>
      </c>
      <c r="C28" s="2" t="s">
        <v>10</v>
      </c>
      <c r="D28" s="3" t="n">
        <v>45722</v>
      </c>
      <c r="E28" s="3" t="n">
        <v>45902</v>
      </c>
      <c r="F28" s="4" t="n">
        <v>5200</v>
      </c>
      <c r="G28" s="5" t="n">
        <f aca="false">E28-DATE(2026,8,18)</f>
        <v>-350</v>
      </c>
      <c r="H28" s="2" t="str">
        <f aca="false">IF(G28&lt;0,"Expired",IF(G28&lt;=30,"Renewal Due","Active"))</f>
        <v>Expired</v>
      </c>
    </row>
    <row r="29" customFormat="false" ht="15" hidden="false" customHeight="false" outlineLevel="0" collapsed="false">
      <c r="A29" s="2" t="s">
        <v>67</v>
      </c>
      <c r="B29" s="2" t="s">
        <v>68</v>
      </c>
      <c r="C29" s="2" t="s">
        <v>16</v>
      </c>
      <c r="D29" s="3" t="n">
        <v>46163</v>
      </c>
      <c r="E29" s="3" t="n">
        <v>46528</v>
      </c>
      <c r="F29" s="4" t="n">
        <v>18000</v>
      </c>
      <c r="G29" s="5" t="n">
        <f aca="false">E29-DATE(2026,8,18)</f>
        <v>276</v>
      </c>
      <c r="H29" s="2" t="str">
        <f aca="false">IF(G29&lt;0,"Expired",IF(G29&lt;=30,"Renewal Due","Active"))</f>
        <v>Active</v>
      </c>
    </row>
    <row r="30" customFormat="false" ht="15" hidden="false" customHeight="false" outlineLevel="0" collapsed="false">
      <c r="A30" s="2" t="s">
        <v>69</v>
      </c>
      <c r="B30" s="2" t="s">
        <v>70</v>
      </c>
      <c r="C30" s="2" t="s">
        <v>26</v>
      </c>
      <c r="D30" s="3" t="n">
        <v>46152</v>
      </c>
      <c r="E30" s="3" t="n">
        <v>46882</v>
      </c>
      <c r="F30" s="4" t="n">
        <v>8000</v>
      </c>
      <c r="G30" s="5" t="n">
        <f aca="false">E30-DATE(2026,8,18)</f>
        <v>630</v>
      </c>
      <c r="H30" s="2" t="str">
        <f aca="false">IF(G30&lt;0,"Expired",IF(G30&lt;=30,"Renewal Due","Active"))</f>
        <v>Active</v>
      </c>
    </row>
    <row r="31" customFormat="false" ht="15" hidden="false" customHeight="false" outlineLevel="0" collapsed="false">
      <c r="A31" s="2" t="s">
        <v>71</v>
      </c>
      <c r="B31" s="2" t="s">
        <v>72</v>
      </c>
      <c r="C31" s="2" t="s">
        <v>21</v>
      </c>
      <c r="D31" s="3" t="n">
        <v>46053</v>
      </c>
      <c r="E31" s="3" t="n">
        <v>46418</v>
      </c>
      <c r="F31" s="4" t="n">
        <v>4300</v>
      </c>
      <c r="G31" s="5" t="n">
        <f aca="false">E31-DATE(2026,8,18)</f>
        <v>166</v>
      </c>
      <c r="H31" s="2" t="str">
        <f aca="false">IF(G31&lt;0,"Expired",IF(G31&lt;=30,"Renewal Due","Active"))</f>
        <v>Active</v>
      </c>
    </row>
    <row r="32" customFormat="false" ht="15" hidden="false" customHeight="false" outlineLevel="0" collapsed="false">
      <c r="A32" s="2" t="s">
        <v>73</v>
      </c>
      <c r="B32" s="2" t="s">
        <v>74</v>
      </c>
      <c r="C32" s="2" t="s">
        <v>16</v>
      </c>
      <c r="D32" s="3" t="n">
        <v>45670</v>
      </c>
      <c r="E32" s="3" t="n">
        <v>46035</v>
      </c>
      <c r="F32" s="4" t="n">
        <v>15500</v>
      </c>
      <c r="G32" s="5" t="n">
        <f aca="false">E32-DATE(2026,8,18)</f>
        <v>-217</v>
      </c>
      <c r="H32" s="2" t="str">
        <f aca="false">IF(G32&lt;0,"Expired",IF(G32&lt;=30,"Renewal Due","Active"))</f>
        <v>Expired</v>
      </c>
    </row>
    <row r="33" customFormat="false" ht="15" hidden="false" customHeight="false" outlineLevel="0" collapsed="false">
      <c r="A33" s="2" t="s">
        <v>75</v>
      </c>
      <c r="B33" s="2" t="s">
        <v>76</v>
      </c>
      <c r="C33" s="2" t="s">
        <v>26</v>
      </c>
      <c r="D33" s="3" t="n">
        <v>45693</v>
      </c>
      <c r="E33" s="3" t="n">
        <v>46058</v>
      </c>
      <c r="F33" s="4" t="n">
        <v>5200</v>
      </c>
      <c r="G33" s="5" t="n">
        <f aca="false">E33-DATE(2026,8,18)</f>
        <v>-194</v>
      </c>
      <c r="H33" s="2" t="str">
        <f aca="false">IF(G33&lt;0,"Expired",IF(G33&lt;=30,"Renewal Due","Active"))</f>
        <v>Expired</v>
      </c>
    </row>
    <row r="34" customFormat="false" ht="15" hidden="false" customHeight="false" outlineLevel="0" collapsed="false">
      <c r="A34" s="2" t="s">
        <v>77</v>
      </c>
      <c r="B34" s="2" t="s">
        <v>78</v>
      </c>
      <c r="C34" s="2" t="s">
        <v>13</v>
      </c>
      <c r="D34" s="3" t="n">
        <v>45876</v>
      </c>
      <c r="E34" s="3" t="n">
        <v>46056</v>
      </c>
      <c r="F34" s="4" t="n">
        <v>18000</v>
      </c>
      <c r="G34" s="5" t="n">
        <f aca="false">E34-DATE(2026,8,18)</f>
        <v>-196</v>
      </c>
      <c r="H34" s="2" t="str">
        <f aca="false">IF(G34&lt;0,"Expired",IF(G34&lt;=30,"Renewal Due","Active"))</f>
        <v>Expired</v>
      </c>
    </row>
    <row r="35" customFormat="false" ht="15" hidden="false" customHeight="false" outlineLevel="0" collapsed="false">
      <c r="A35" s="2" t="s">
        <v>79</v>
      </c>
      <c r="B35" s="2" t="s">
        <v>80</v>
      </c>
      <c r="C35" s="2" t="s">
        <v>21</v>
      </c>
      <c r="D35" s="3" t="n">
        <v>45997</v>
      </c>
      <c r="E35" s="3" t="n">
        <v>46177</v>
      </c>
      <c r="F35" s="4" t="n">
        <v>5200</v>
      </c>
      <c r="G35" s="5" t="n">
        <f aca="false">E35-DATE(2026,8,18)</f>
        <v>-75</v>
      </c>
      <c r="H35" s="2" t="str">
        <f aca="false">IF(G35&lt;0,"Expired",IF(G35&lt;=30,"Renewal Due","Active"))</f>
        <v>Expired</v>
      </c>
    </row>
    <row r="36" customFormat="false" ht="15" hidden="false" customHeight="false" outlineLevel="0" collapsed="false">
      <c r="A36" s="2" t="s">
        <v>81</v>
      </c>
      <c r="B36" s="2" t="s">
        <v>82</v>
      </c>
      <c r="C36" s="2" t="s">
        <v>13</v>
      </c>
      <c r="D36" s="3" t="n">
        <v>46190</v>
      </c>
      <c r="E36" s="3" t="n">
        <v>46555</v>
      </c>
      <c r="F36" s="4" t="n">
        <v>5200</v>
      </c>
      <c r="G36" s="5" t="n">
        <f aca="false">E36-DATE(2026,8,18)</f>
        <v>303</v>
      </c>
      <c r="H36" s="2" t="str">
        <f aca="false">IF(G36&lt;0,"Expired",IF(G36&lt;=30,"Renewal Due","Active"))</f>
        <v>Active</v>
      </c>
    </row>
    <row r="37" customFormat="false" ht="15" hidden="false" customHeight="false" outlineLevel="0" collapsed="false">
      <c r="A37" s="2" t="s">
        <v>83</v>
      </c>
      <c r="B37" s="2" t="s">
        <v>84</v>
      </c>
      <c r="C37" s="2" t="s">
        <v>10</v>
      </c>
      <c r="D37" s="3" t="n">
        <v>45725</v>
      </c>
      <c r="E37" s="3" t="n">
        <v>46090</v>
      </c>
      <c r="F37" s="4" t="n">
        <v>4300</v>
      </c>
      <c r="G37" s="5" t="n">
        <f aca="false">E37-DATE(2026,8,18)</f>
        <v>-162</v>
      </c>
      <c r="H37" s="2" t="str">
        <f aca="false">IF(G37&lt;0,"Expired",IF(G37&lt;=30,"Renewal Due","Active"))</f>
        <v>Expired</v>
      </c>
    </row>
    <row r="38" customFormat="false" ht="15" hidden="false" customHeight="false" outlineLevel="0" collapsed="false">
      <c r="A38" s="2" t="s">
        <v>85</v>
      </c>
      <c r="B38" s="2" t="s">
        <v>86</v>
      </c>
      <c r="C38" s="2" t="s">
        <v>21</v>
      </c>
      <c r="D38" s="3" t="n">
        <v>45738</v>
      </c>
      <c r="E38" s="3" t="n">
        <v>46103</v>
      </c>
      <c r="F38" s="4" t="n">
        <v>9800</v>
      </c>
      <c r="G38" s="5" t="n">
        <f aca="false">E38-DATE(2026,8,18)</f>
        <v>-149</v>
      </c>
      <c r="H38" s="2" t="str">
        <f aca="false">IF(G38&lt;0,"Expired",IF(G38&lt;=30,"Renewal Due","Active"))</f>
        <v>Expired</v>
      </c>
    </row>
    <row r="39" customFormat="false" ht="15" hidden="false" customHeight="false" outlineLevel="0" collapsed="false">
      <c r="A39" s="2" t="s">
        <v>87</v>
      </c>
      <c r="B39" s="2" t="s">
        <v>88</v>
      </c>
      <c r="C39" s="2" t="s">
        <v>13</v>
      </c>
      <c r="D39" s="3" t="n">
        <v>46123</v>
      </c>
      <c r="E39" s="3" t="n">
        <v>46488</v>
      </c>
      <c r="F39" s="4" t="n">
        <v>21000</v>
      </c>
      <c r="G39" s="5" t="n">
        <f aca="false">E39-DATE(2026,8,18)</f>
        <v>236</v>
      </c>
      <c r="H39" s="2" t="str">
        <f aca="false">IF(G39&lt;0,"Expired",IF(G39&lt;=30,"Renewal Due","Active"))</f>
        <v>Active</v>
      </c>
    </row>
    <row r="40" customFormat="false" ht="15" hidden="false" customHeight="false" outlineLevel="0" collapsed="false">
      <c r="A40" s="2" t="s">
        <v>89</v>
      </c>
      <c r="B40" s="2" t="s">
        <v>90</v>
      </c>
      <c r="C40" s="2" t="s">
        <v>26</v>
      </c>
      <c r="D40" s="3" t="n">
        <v>46167</v>
      </c>
      <c r="E40" s="3" t="n">
        <v>46347</v>
      </c>
      <c r="F40" s="4" t="n">
        <v>3500</v>
      </c>
      <c r="G40" s="5" t="n">
        <f aca="false">E40-DATE(2026,8,18)</f>
        <v>95</v>
      </c>
      <c r="H40" s="2" t="str">
        <f aca="false">IF(G40&lt;0,"Expired",IF(G40&lt;=30,"Renewal Due","Active"))</f>
        <v>Active</v>
      </c>
    </row>
    <row r="41" customFormat="false" ht="15" hidden="false" customHeight="false" outlineLevel="0" collapsed="false">
      <c r="A41" s="2" t="s">
        <v>91</v>
      </c>
      <c r="B41" s="2" t="s">
        <v>76</v>
      </c>
      <c r="C41" s="2" t="s">
        <v>13</v>
      </c>
      <c r="D41" s="3" t="n">
        <v>45968</v>
      </c>
      <c r="E41" s="3" t="n">
        <v>46333</v>
      </c>
      <c r="F41" s="4" t="n">
        <v>12000</v>
      </c>
      <c r="G41" s="5" t="n">
        <f aca="false">E41-DATE(2026,8,18)</f>
        <v>81</v>
      </c>
      <c r="H41" s="2" t="str">
        <f aca="false">IF(G41&lt;0,"Expired",IF(G41&lt;=30,"Renewal Due","Active"))</f>
        <v>Active</v>
      </c>
    </row>
  </sheetData>
  <conditionalFormatting sqref="H2:H41">
    <cfRule type="expression" priority="2" aboveAverage="0" equalAverage="0" bottom="0" percent="0" rank="0" text="" dxfId="5">
      <formula>H2="Expired"</formula>
    </cfRule>
    <cfRule type="expression" priority="3" aboveAverage="0" equalAverage="0" bottom="0" percent="0" rank="0" text="" dxfId="6">
      <formula>H2="Renewal Due"</formula>
    </cfRule>
    <cfRule type="expression" priority="4" aboveAverage="0" equalAverage="0" bottom="0" percent="0" rank="0" text="" dxfId="7">
      <formula>H2="Active"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24"/>
  </cols>
  <sheetData>
    <row r="1" customFormat="false" ht="19.7" hidden="false" customHeight="false" outlineLevel="0" collapsed="false">
      <c r="A1" s="6" t="s">
        <v>92</v>
      </c>
      <c r="B1" s="6"/>
      <c r="C1" s="6"/>
      <c r="D1" s="6"/>
    </row>
    <row r="2" customFormat="false" ht="15" hidden="false" customHeight="false" outlineLevel="0" collapsed="false">
      <c r="A2" s="7" t="s">
        <v>93</v>
      </c>
      <c r="B2" s="7"/>
      <c r="C2" s="7"/>
      <c r="D2" s="7"/>
    </row>
    <row r="4" customFormat="false" ht="15" hidden="false" customHeight="false" outlineLevel="0" collapsed="false">
      <c r="A4" s="8" t="s">
        <v>94</v>
      </c>
      <c r="E4" s="9" t="s">
        <v>95</v>
      </c>
    </row>
    <row r="5" customFormat="false" ht="24.45" hidden="false" customHeight="false" outlineLevel="0" collapsed="false">
      <c r="A5" s="10" t="s">
        <v>7</v>
      </c>
      <c r="B5" s="10" t="s">
        <v>96</v>
      </c>
      <c r="E5" s="11" t="n">
        <f aca="false">COUNTA('Policy Data'!$A$2:$A$41)</f>
        <v>40</v>
      </c>
    </row>
    <row r="6" customFormat="false" ht="15" hidden="false" customHeight="false" outlineLevel="0" collapsed="false">
      <c r="A6" s="12" t="s">
        <v>97</v>
      </c>
      <c r="B6" s="12" t="n">
        <f aca="false">COUNTIF('Policy Data'!$H$2:$H$41,A6)</f>
        <v>25</v>
      </c>
    </row>
    <row r="7" customFormat="false" ht="15" hidden="false" customHeight="false" outlineLevel="0" collapsed="false">
      <c r="A7" s="12" t="s">
        <v>98</v>
      </c>
      <c r="B7" s="12" t="n">
        <f aca="false">COUNTIF('Policy Data'!$H$2:$H$41,A7)</f>
        <v>0</v>
      </c>
      <c r="E7" s="9" t="s">
        <v>99</v>
      </c>
    </row>
    <row r="8" customFormat="false" ht="24.45" hidden="false" customHeight="false" outlineLevel="0" collapsed="false">
      <c r="A8" s="12" t="s">
        <v>100</v>
      </c>
      <c r="B8" s="12" t="n">
        <f aca="false">COUNTIF('Policy Data'!$H$2:$H$41,A8)</f>
        <v>15</v>
      </c>
      <c r="E8" s="13" t="n">
        <f aca="false">SUM('Policy Data'!$F$2:$F$41)</f>
        <v>497500</v>
      </c>
    </row>
    <row r="10" customFormat="false" ht="15" hidden="false" customHeight="false" outlineLevel="0" collapsed="false">
      <c r="A10" s="8" t="s">
        <v>101</v>
      </c>
      <c r="E10" s="9" t="s">
        <v>102</v>
      </c>
    </row>
    <row r="11" customFormat="false" ht="24.45" hidden="false" customHeight="false" outlineLevel="0" collapsed="false">
      <c r="A11" s="10" t="s">
        <v>103</v>
      </c>
      <c r="B11" s="10" t="s">
        <v>104</v>
      </c>
      <c r="C11" s="10" t="s">
        <v>99</v>
      </c>
      <c r="E11" s="14" t="n">
        <f aca="false">COUNTIF('Policy Data'!$H$2:$H$41,"Renewal Due")</f>
        <v>0</v>
      </c>
    </row>
    <row r="12" customFormat="false" ht="15" hidden="false" customHeight="false" outlineLevel="0" collapsed="false">
      <c r="A12" s="12" t="s">
        <v>13</v>
      </c>
      <c r="B12" s="12" t="n">
        <f aca="false">COUNTIF('Policy Data'!$C$2:$C$41,A12)</f>
        <v>11</v>
      </c>
      <c r="C12" s="15" t="n">
        <f aca="false">SUMIF('Policy Data'!$C$2:$C$41,A12,'Policy Data'!$F$2:$F$41)</f>
        <v>124200</v>
      </c>
    </row>
    <row r="13" customFormat="false" ht="15" hidden="false" customHeight="false" outlineLevel="0" collapsed="false">
      <c r="A13" s="12" t="s">
        <v>16</v>
      </c>
      <c r="B13" s="12" t="n">
        <f aca="false">COUNTIF('Policy Data'!$C$2:$C$41,A13)</f>
        <v>7</v>
      </c>
      <c r="C13" s="15" t="n">
        <f aca="false">SUMIF('Policy Data'!$C$2:$C$41,A13,'Policy Data'!$F$2:$F$41)</f>
        <v>126500</v>
      </c>
    </row>
    <row r="14" customFormat="false" ht="15" hidden="false" customHeight="false" outlineLevel="0" collapsed="false">
      <c r="A14" s="12" t="s">
        <v>10</v>
      </c>
      <c r="B14" s="12" t="n">
        <f aca="false">COUNTIF('Policy Data'!$C$2:$C$41,A14)</f>
        <v>11</v>
      </c>
      <c r="C14" s="15" t="n">
        <f aca="false">SUMIF('Policy Data'!$C$2:$C$41,A14,'Policy Data'!$F$2:$F$41)</f>
        <v>125300</v>
      </c>
    </row>
    <row r="15" customFormat="false" ht="15" hidden="false" customHeight="false" outlineLevel="0" collapsed="false">
      <c r="A15" s="12" t="s">
        <v>26</v>
      </c>
      <c r="B15" s="12" t="n">
        <f aca="false">COUNTIF('Policy Data'!$C$2:$C$41,A15)</f>
        <v>5</v>
      </c>
      <c r="C15" s="15" t="n">
        <f aca="false">SUMIF('Policy Data'!$C$2:$C$41,A15,'Policy Data'!$F$2:$F$41)</f>
        <v>45700</v>
      </c>
    </row>
    <row r="16" customFormat="false" ht="15" hidden="false" customHeight="false" outlineLevel="0" collapsed="false">
      <c r="A16" s="12" t="s">
        <v>21</v>
      </c>
      <c r="B16" s="12" t="n">
        <f aca="false">COUNTIF('Policy Data'!$C$2:$C$41,A16)</f>
        <v>6</v>
      </c>
      <c r="C16" s="15" t="n">
        <f aca="false">SUMIF('Policy Data'!$C$2:$C$41,A16,'Policy Data'!$F$2:$F$41)</f>
        <v>75800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2026-08-18T07:05:30Z</dcterms:created>
  <dc:creator>openpyxl</dc:creator>
  <dc:description/>
  <dc:language>en-US</dc:language>
  <cp:lastModifiedBy/>
  <dcterms:modified xsi:type="dcterms:W3CDTF">2026-08-18T07:05:30Z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